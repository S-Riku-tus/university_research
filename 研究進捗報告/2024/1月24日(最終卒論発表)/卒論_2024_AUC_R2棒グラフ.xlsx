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b6e960b06a1f92/Desktop/研究進捗報告/2024/1月24日(最終卒論発表)/"/>
    </mc:Choice>
  </mc:AlternateContent>
  <xr:revisionPtr revIDLastSave="4" documentId="13_ncr:1_{1504A9B3-52A2-425A-899B-07922B4B5D86}" xr6:coauthVersionLast="47" xr6:coauthVersionMax="47" xr10:uidLastSave="{46E3A30A-F27E-4581-8013-0CE620FA6A0D}"/>
  <bookViews>
    <workbookView xWindow="-110" yWindow="-110" windowWidth="19420" windowHeight="11500" xr2:uid="{42D8A81E-EDF5-4FD4-A239-8D64404DC73F}"/>
  </bookViews>
  <sheets>
    <sheet name="R2_auc" sheetId="1" r:id="rId1"/>
    <sheet name="100%" sheetId="2" r:id="rId2"/>
    <sheet name="Ive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" l="1"/>
  <c r="J19" i="3"/>
  <c r="G31" i="3"/>
  <c r="M8" i="2"/>
  <c r="M9" i="2"/>
  <c r="M10" i="2"/>
  <c r="M11" i="2"/>
  <c r="M12" i="2"/>
  <c r="M13" i="2"/>
  <c r="M7" i="2"/>
  <c r="L8" i="2"/>
  <c r="L9" i="2"/>
  <c r="L10" i="2"/>
  <c r="L11" i="2"/>
  <c r="L12" i="2"/>
  <c r="L13" i="2"/>
  <c r="L7" i="2"/>
  <c r="J8" i="2"/>
  <c r="K8" i="2"/>
  <c r="J9" i="2"/>
  <c r="K9" i="2"/>
  <c r="J10" i="2"/>
  <c r="K10" i="2"/>
  <c r="J11" i="2"/>
  <c r="K11" i="2"/>
  <c r="J12" i="2"/>
  <c r="K12" i="2"/>
  <c r="J13" i="2"/>
  <c r="K13" i="2"/>
  <c r="K7" i="2"/>
  <c r="J7" i="2"/>
  <c r="I7" i="2"/>
  <c r="I9" i="2"/>
  <c r="I10" i="2"/>
  <c r="I11" i="2"/>
  <c r="I12" i="2"/>
  <c r="I13" i="2"/>
  <c r="I8" i="2"/>
</calcChain>
</file>

<file path=xl/sharedStrings.xml><?xml version="1.0" encoding="utf-8"?>
<sst xmlns="http://schemas.openxmlformats.org/spreadsheetml/2006/main" count="32" uniqueCount="23">
  <si>
    <t>AUC</t>
    <phoneticPr fontId="1"/>
  </si>
  <si>
    <r>
      <t>R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</si>
  <si>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Alex</t>
    <phoneticPr fontId="1"/>
  </si>
  <si>
    <t>Res</t>
    <phoneticPr fontId="1"/>
  </si>
  <si>
    <t>VGG</t>
    <phoneticPr fontId="1"/>
  </si>
  <si>
    <t>Ensemble</t>
    <phoneticPr fontId="1"/>
  </si>
  <si>
    <t>SNR</t>
    <phoneticPr fontId="1"/>
  </si>
  <si>
    <t>no_noise</t>
    <phoneticPr fontId="1"/>
  </si>
  <si>
    <t>no_noise</t>
  </si>
  <si>
    <t>アンサンブル</t>
    <phoneticPr fontId="1"/>
  </si>
  <si>
    <t>100%検知結果</t>
    <rPh sb="4" eb="8">
      <t>ケンチケッカ</t>
    </rPh>
    <phoneticPr fontId="1"/>
  </si>
  <si>
    <t>split</t>
    <phoneticPr fontId="1"/>
  </si>
  <si>
    <t>平均</t>
    <rPh sb="0" eb="2">
      <t>ヘイキン</t>
    </rPh>
    <phoneticPr fontId="1"/>
  </si>
  <si>
    <t>標準誤差</t>
    <rPh sb="0" eb="4">
      <t>ヒョウジュンゴサ</t>
    </rPh>
    <phoneticPr fontId="1"/>
  </si>
  <si>
    <t>標準偏差</t>
    <rPh sb="0" eb="2">
      <t>ヒョウジュン</t>
    </rPh>
    <rPh sb="2" eb="4">
      <t>ヘンサ</t>
    </rPh>
    <phoneticPr fontId="1"/>
  </si>
  <si>
    <t>データ数</t>
    <rPh sb="3" eb="4">
      <t>スウ</t>
    </rPh>
    <phoneticPr fontId="1"/>
  </si>
  <si>
    <t>変動係数</t>
    <rPh sb="0" eb="4">
      <t>ヘンドウケイスウ</t>
    </rPh>
    <phoneticPr fontId="1"/>
  </si>
  <si>
    <t>誤差</t>
    <rPh sb="0" eb="2">
      <t>ゴサ</t>
    </rPh>
    <phoneticPr fontId="1"/>
  </si>
  <si>
    <t>限界熱流束の平均値</t>
    <rPh sb="0" eb="5">
      <t>ゲンカイネツリュウソク</t>
    </rPh>
    <rPh sb="6" eb="9">
      <t>ヘイキンチ</t>
    </rPh>
    <phoneticPr fontId="1"/>
  </si>
  <si>
    <t>11/12_1</t>
    <phoneticPr fontId="1"/>
  </si>
  <si>
    <t>11/12_2</t>
    <phoneticPr fontId="1"/>
  </si>
  <si>
    <t>11/13_1</t>
    <phoneticPr fontId="1"/>
  </si>
  <si>
    <t>エラーバーが見ずらかったのでずらした</t>
    <rPh sb="6" eb="7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</si>
</sst>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2"/>
      <color theme="1"/>
      <name val="Segoe UI"/>
      <family val="2"/>
    </font>
    <font>
      <sz val="12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1482E6"/>
      <color rgb="FF88CDEC"/>
      <color rgb="FF2C988E"/>
      <color rgb="FF34C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39114194695124E-2"/>
          <c:y val="4.3890281208833225E-2"/>
          <c:w val="0.9037420894907221"/>
          <c:h val="0.91221943758233359"/>
        </c:manualLayout>
      </c:layout>
      <c:scatterChart>
        <c:scatterStyle val="smoothMarker"/>
        <c:varyColors val="0"/>
        <c:ser>
          <c:idx val="0"/>
          <c:order val="0"/>
          <c:tx>
            <c:v>AlexNet</c:v>
          </c:tx>
          <c:spPr>
            <a:ln w="19050" cap="rnd">
              <a:solidFill>
                <a:srgbClr val="34C1BE">
                  <a:alpha val="97000"/>
                </a:srgbClr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rgbClr val="34C1BE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'R2_auc'!$F$5:$F$11</c:f>
                <c:numCache>
                  <c:formatCode>General</c:formatCode>
                  <c:ptCount val="7"/>
                  <c:pt idx="0">
                    <c:v>5.5999999999999999E-3</c:v>
                  </c:pt>
                  <c:pt idx="1">
                    <c:v>1.8E-3</c:v>
                  </c:pt>
                  <c:pt idx="2">
                    <c:v>7.1000000000000004E-3</c:v>
                  </c:pt>
                  <c:pt idx="3">
                    <c:v>3.7000000000000002E-3</c:v>
                  </c:pt>
                  <c:pt idx="4">
                    <c:v>9.1999999999999998E-3</c:v>
                  </c:pt>
                  <c:pt idx="5">
                    <c:v>9.4000000000000004E-3</c:v>
                  </c:pt>
                  <c:pt idx="6">
                    <c:v>6.8999999999999999E-3</c:v>
                  </c:pt>
                </c:numCache>
              </c:numRef>
            </c:plus>
            <c:minus>
              <c:numRef>
                <c:f>'R2_auc'!$F$5:$F$11</c:f>
                <c:numCache>
                  <c:formatCode>General</c:formatCode>
                  <c:ptCount val="7"/>
                  <c:pt idx="0">
                    <c:v>5.5999999999999999E-3</c:v>
                  </c:pt>
                  <c:pt idx="1">
                    <c:v>1.8E-3</c:v>
                  </c:pt>
                  <c:pt idx="2">
                    <c:v>7.1000000000000004E-3</c:v>
                  </c:pt>
                  <c:pt idx="3">
                    <c:v>3.7000000000000002E-3</c:v>
                  </c:pt>
                  <c:pt idx="4">
                    <c:v>9.1999999999999998E-3</c:v>
                  </c:pt>
                  <c:pt idx="5">
                    <c:v>9.4000000000000004E-3</c:v>
                  </c:pt>
                  <c:pt idx="6">
                    <c:v>6.8999999999999999E-3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34C1BE"/>
                </a:solidFill>
                <a:round/>
              </a:ln>
              <a:effectLst/>
            </c:spPr>
          </c:errBars>
          <c:xVal>
            <c:numRef>
              <c:f>'R2_auc'!$K$22:$K$28</c:f>
              <c:numCache>
                <c:formatCode>General</c:formatCode>
                <c:ptCount val="7"/>
                <c:pt idx="0">
                  <c:v>0.94</c:v>
                </c:pt>
                <c:pt idx="1">
                  <c:v>1.94</c:v>
                </c:pt>
                <c:pt idx="2">
                  <c:v>2.94</c:v>
                </c:pt>
                <c:pt idx="3">
                  <c:v>3.94</c:v>
                </c:pt>
                <c:pt idx="4">
                  <c:v>4.9400000000000004</c:v>
                </c:pt>
                <c:pt idx="5">
                  <c:v>5.94</c:v>
                </c:pt>
                <c:pt idx="6">
                  <c:v>6.94</c:v>
                </c:pt>
              </c:numCache>
            </c:numRef>
          </c:xVal>
          <c:yVal>
            <c:numRef>
              <c:f>'R2_auc'!$B$5:$B$11</c:f>
              <c:numCache>
                <c:formatCode>General</c:formatCode>
                <c:ptCount val="7"/>
                <c:pt idx="0">
                  <c:v>0.99180000000000001</c:v>
                </c:pt>
                <c:pt idx="1">
                  <c:v>0.99509999999999998</c:v>
                </c:pt>
                <c:pt idx="2">
                  <c:v>0.98</c:v>
                </c:pt>
                <c:pt idx="3">
                  <c:v>0.9677</c:v>
                </c:pt>
                <c:pt idx="4">
                  <c:v>0.94730000000000003</c:v>
                </c:pt>
                <c:pt idx="5">
                  <c:v>0.92720000000000002</c:v>
                </c:pt>
                <c:pt idx="6">
                  <c:v>0.91069999999999995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5-433C-BAEF-E004B4A42B7D}"/>
            </c:ext>
          </c:extLst>
        </c:ser>
        <c:ser>
          <c:idx val="1"/>
          <c:order val="1"/>
          <c:spPr>
            <a:ln w="19050" cap="rnd">
              <a:solidFill>
                <a:srgbClr val="2C988E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2C988E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'R2_auc'!$G$5:$G$11</c:f>
                <c:numCache>
                  <c:formatCode>General</c:formatCode>
                  <c:ptCount val="7"/>
                  <c:pt idx="0">
                    <c:v>2.2000000000000001E-3</c:v>
                  </c:pt>
                  <c:pt idx="1">
                    <c:v>4.4999999999999997E-3</c:v>
                  </c:pt>
                  <c:pt idx="2">
                    <c:v>4.1999999999999997E-3</c:v>
                  </c:pt>
                  <c:pt idx="3">
                    <c:v>5.8999999999999999E-3</c:v>
                  </c:pt>
                  <c:pt idx="4">
                    <c:v>6.8999999999999999E-3</c:v>
                  </c:pt>
                  <c:pt idx="5">
                    <c:v>9.1000000000000004E-3</c:v>
                  </c:pt>
                  <c:pt idx="6">
                    <c:v>1.11E-2</c:v>
                  </c:pt>
                </c:numCache>
              </c:numRef>
            </c:plus>
            <c:minus>
              <c:numRef>
                <c:f>'R2_auc'!$G$5:$G$11</c:f>
                <c:numCache>
                  <c:formatCode>General</c:formatCode>
                  <c:ptCount val="7"/>
                  <c:pt idx="0">
                    <c:v>2.2000000000000001E-3</c:v>
                  </c:pt>
                  <c:pt idx="1">
                    <c:v>4.4999999999999997E-3</c:v>
                  </c:pt>
                  <c:pt idx="2">
                    <c:v>4.1999999999999997E-3</c:v>
                  </c:pt>
                  <c:pt idx="3">
                    <c:v>5.8999999999999999E-3</c:v>
                  </c:pt>
                  <c:pt idx="4">
                    <c:v>6.8999999999999999E-3</c:v>
                  </c:pt>
                  <c:pt idx="5">
                    <c:v>9.1000000000000004E-3</c:v>
                  </c:pt>
                  <c:pt idx="6">
                    <c:v>1.11E-2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2C988E"/>
                </a:solidFill>
                <a:round/>
              </a:ln>
              <a:effectLst/>
            </c:spPr>
          </c:errBars>
          <c:xVal>
            <c:numRef>
              <c:f>'R2_auc'!$L$22:$L$28</c:f>
              <c:numCache>
                <c:formatCode>General</c:formatCode>
                <c:ptCount val="7"/>
                <c:pt idx="0">
                  <c:v>0.98</c:v>
                </c:pt>
                <c:pt idx="1">
                  <c:v>1.98</c:v>
                </c:pt>
                <c:pt idx="2">
                  <c:v>2.98</c:v>
                </c:pt>
                <c:pt idx="3">
                  <c:v>3.98</c:v>
                </c:pt>
                <c:pt idx="4">
                  <c:v>4.9800000000000004</c:v>
                </c:pt>
                <c:pt idx="5">
                  <c:v>5.98</c:v>
                </c:pt>
                <c:pt idx="6">
                  <c:v>6.98</c:v>
                </c:pt>
              </c:numCache>
            </c:numRef>
          </c:xVal>
          <c:yVal>
            <c:numRef>
              <c:f>'R2_auc'!$C$5:$C$11</c:f>
              <c:numCache>
                <c:formatCode>General</c:formatCode>
                <c:ptCount val="7"/>
                <c:pt idx="0">
                  <c:v>0.995</c:v>
                </c:pt>
                <c:pt idx="1">
                  <c:v>0.99229999999999996</c:v>
                </c:pt>
                <c:pt idx="2">
                  <c:v>0.98280000000000001</c:v>
                </c:pt>
                <c:pt idx="3">
                  <c:v>0.97409999999999997</c:v>
                </c:pt>
                <c:pt idx="4">
                  <c:v>0.96389999999999998</c:v>
                </c:pt>
                <c:pt idx="5">
                  <c:v>0.93789999999999996</c:v>
                </c:pt>
                <c:pt idx="6">
                  <c:v>0.90810000000000002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65-433C-BAEF-E004B4A42B7D}"/>
            </c:ext>
          </c:extLst>
        </c:ser>
        <c:ser>
          <c:idx val="2"/>
          <c:order val="2"/>
          <c:spPr>
            <a:ln w="19050" cap="rnd">
              <a:solidFill>
                <a:srgbClr val="88CDEC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2C988E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'R2_auc'!$H$5:$H$11</c:f>
                <c:numCache>
                  <c:formatCode>General</c:formatCode>
                  <c:ptCount val="7"/>
                  <c:pt idx="0">
                    <c:v>2.3E-3</c:v>
                  </c:pt>
                  <c:pt idx="1">
                    <c:v>1.4E-3</c:v>
                  </c:pt>
                  <c:pt idx="2">
                    <c:v>3.5999999999999999E-3</c:v>
                  </c:pt>
                  <c:pt idx="3">
                    <c:v>3.3999999999999998E-3</c:v>
                  </c:pt>
                  <c:pt idx="4">
                    <c:v>5.4999999999999997E-3</c:v>
                  </c:pt>
                  <c:pt idx="5">
                    <c:v>9.5999999999999992E-3</c:v>
                  </c:pt>
                  <c:pt idx="6">
                    <c:v>6.1999999999999998E-3</c:v>
                  </c:pt>
                </c:numCache>
              </c:numRef>
            </c:plus>
            <c:minus>
              <c:numRef>
                <c:f>'R2_auc'!$H$5:$H$11</c:f>
                <c:numCache>
                  <c:formatCode>General</c:formatCode>
                  <c:ptCount val="7"/>
                  <c:pt idx="0">
                    <c:v>2.3E-3</c:v>
                  </c:pt>
                  <c:pt idx="1">
                    <c:v>1.4E-3</c:v>
                  </c:pt>
                  <c:pt idx="2">
                    <c:v>3.5999999999999999E-3</c:v>
                  </c:pt>
                  <c:pt idx="3">
                    <c:v>3.3999999999999998E-3</c:v>
                  </c:pt>
                  <c:pt idx="4">
                    <c:v>5.4999999999999997E-3</c:v>
                  </c:pt>
                  <c:pt idx="5">
                    <c:v>9.5999999999999992E-3</c:v>
                  </c:pt>
                  <c:pt idx="6">
                    <c:v>6.1999999999999998E-3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88CDEC"/>
                </a:solidFill>
                <a:round/>
              </a:ln>
              <a:effectLst/>
            </c:spPr>
          </c:errBars>
          <c:xVal>
            <c:numRef>
              <c:f>'R2_auc'!$M$22:$M$28</c:f>
              <c:numCache>
                <c:formatCode>General</c:formatCode>
                <c:ptCount val="7"/>
                <c:pt idx="0">
                  <c:v>1.02</c:v>
                </c:pt>
                <c:pt idx="1">
                  <c:v>2.02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6.02</c:v>
                </c:pt>
                <c:pt idx="6">
                  <c:v>7.02</c:v>
                </c:pt>
              </c:numCache>
            </c:numRef>
          </c:xVal>
          <c:yVal>
            <c:numRef>
              <c:f>'R2_auc'!$D$5:$D$11</c:f>
              <c:numCache>
                <c:formatCode>General</c:formatCode>
                <c:ptCount val="7"/>
                <c:pt idx="0">
                  <c:v>0.9929</c:v>
                </c:pt>
                <c:pt idx="1">
                  <c:v>0.99280000000000002</c:v>
                </c:pt>
                <c:pt idx="2">
                  <c:v>0.98150000000000004</c:v>
                </c:pt>
                <c:pt idx="3">
                  <c:v>0.97309999999999997</c:v>
                </c:pt>
                <c:pt idx="4">
                  <c:v>0.96109999999999995</c:v>
                </c:pt>
                <c:pt idx="5">
                  <c:v>0.93600000000000005</c:v>
                </c:pt>
                <c:pt idx="6">
                  <c:v>0.91039999999999999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65-433C-BAEF-E004B4A42B7D}"/>
            </c:ext>
          </c:extLst>
        </c:ser>
        <c:ser>
          <c:idx val="3"/>
          <c:order val="3"/>
          <c:spPr>
            <a:ln w="19050" cap="rnd">
              <a:solidFill>
                <a:srgbClr val="1482E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1482E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'R2_auc'!$I$5:$I$11</c:f>
                <c:numCache>
                  <c:formatCode>General</c:formatCode>
                  <c:ptCount val="7"/>
                  <c:pt idx="0">
                    <c:v>2.5999999999999999E-3</c:v>
                  </c:pt>
                  <c:pt idx="1">
                    <c:v>1.6999999999999999E-3</c:v>
                  </c:pt>
                  <c:pt idx="2">
                    <c:v>6.7000000000000002E-3</c:v>
                  </c:pt>
                  <c:pt idx="3">
                    <c:v>3.0999999999999999E-3</c:v>
                  </c:pt>
                  <c:pt idx="4">
                    <c:v>6.4000000000000003E-3</c:v>
                  </c:pt>
                  <c:pt idx="5">
                    <c:v>8.3999999999999995E-3</c:v>
                  </c:pt>
                  <c:pt idx="6">
                    <c:v>7.0000000000000001E-3</c:v>
                  </c:pt>
                </c:numCache>
              </c:numRef>
            </c:plus>
            <c:minus>
              <c:numRef>
                <c:f>'R2_auc'!$I$5:$I$11</c:f>
                <c:numCache>
                  <c:formatCode>General</c:formatCode>
                  <c:ptCount val="7"/>
                  <c:pt idx="0">
                    <c:v>2.5999999999999999E-3</c:v>
                  </c:pt>
                  <c:pt idx="1">
                    <c:v>1.6999999999999999E-3</c:v>
                  </c:pt>
                  <c:pt idx="2">
                    <c:v>6.7000000000000002E-3</c:v>
                  </c:pt>
                  <c:pt idx="3">
                    <c:v>3.0999999999999999E-3</c:v>
                  </c:pt>
                  <c:pt idx="4">
                    <c:v>6.4000000000000003E-3</c:v>
                  </c:pt>
                  <c:pt idx="5">
                    <c:v>8.3999999999999995E-3</c:v>
                  </c:pt>
                  <c:pt idx="6">
                    <c:v>7.0000000000000001E-3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1482E6"/>
                </a:solidFill>
                <a:round/>
              </a:ln>
              <a:effectLst/>
            </c:spPr>
          </c:errBars>
          <c:xVal>
            <c:numRef>
              <c:f>'R2_auc'!$N$22:$N$28</c:f>
              <c:numCache>
                <c:formatCode>General</c:formatCode>
                <c:ptCount val="7"/>
                <c:pt idx="0">
                  <c:v>1.06</c:v>
                </c:pt>
                <c:pt idx="1">
                  <c:v>2.06</c:v>
                </c:pt>
                <c:pt idx="2">
                  <c:v>3.06</c:v>
                </c:pt>
                <c:pt idx="3">
                  <c:v>4.0599999999999996</c:v>
                </c:pt>
                <c:pt idx="4">
                  <c:v>5.0599999999999996</c:v>
                </c:pt>
                <c:pt idx="5">
                  <c:v>6.06</c:v>
                </c:pt>
                <c:pt idx="6">
                  <c:v>7.06</c:v>
                </c:pt>
              </c:numCache>
            </c:numRef>
          </c:xVal>
          <c:yVal>
            <c:numRef>
              <c:f>'R2_auc'!$E$5:$E$11</c:f>
              <c:numCache>
                <c:formatCode>General</c:formatCode>
                <c:ptCount val="7"/>
                <c:pt idx="0">
                  <c:v>0.99619999999999997</c:v>
                </c:pt>
                <c:pt idx="1">
                  <c:v>0.99680000000000002</c:v>
                </c:pt>
                <c:pt idx="2">
                  <c:v>0.98380000000000001</c:v>
                </c:pt>
                <c:pt idx="3">
                  <c:v>0.97740000000000005</c:v>
                </c:pt>
                <c:pt idx="4">
                  <c:v>0.96479999999999999</c:v>
                </c:pt>
                <c:pt idx="5">
                  <c:v>0.93779999999999997</c:v>
                </c:pt>
                <c:pt idx="6">
                  <c:v>0.91649999999999998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65-433C-BAEF-E004B4A42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63439"/>
        <c:axId val="1030761999"/>
      </c:scatterChart>
      <c:valAx>
        <c:axId val="1030763439"/>
        <c:scaling>
          <c:orientation val="minMax"/>
          <c:min val="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761999"/>
        <c:crosses val="autoZero"/>
        <c:crossBetween val="midCat"/>
      </c:valAx>
      <c:valAx>
        <c:axId val="1030761999"/>
        <c:scaling>
          <c:orientation val="minMax"/>
          <c:max val="1.01"/>
          <c:min val="0.89000000000000012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763439"/>
        <c:crosses val="autoZero"/>
        <c:crossBetween val="midCat"/>
        <c:majorUnit val="2.0000000000000004E-2"/>
      </c:valAx>
      <c:spPr>
        <a:noFill/>
        <a:ln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6562400885249E-2"/>
          <c:y val="2.1962939920000805E-2"/>
          <c:w val="0.9037420894907221"/>
          <c:h val="0.9122194375823335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34C1BE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rgbClr val="34C1BE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'R2_auc'!$S$5:$S$11</c:f>
                <c:numCache>
                  <c:formatCode>General</c:formatCode>
                  <c:ptCount val="7"/>
                  <c:pt idx="0">
                    <c:v>8.9999999999999998E-4</c:v>
                  </c:pt>
                  <c:pt idx="1">
                    <c:v>2.0000000000000001E-4</c:v>
                  </c:pt>
                  <c:pt idx="2">
                    <c:v>1E-3</c:v>
                  </c:pt>
                  <c:pt idx="3">
                    <c:v>6.9999999999999999E-4</c:v>
                  </c:pt>
                  <c:pt idx="4">
                    <c:v>3.3999999999999998E-3</c:v>
                  </c:pt>
                  <c:pt idx="5">
                    <c:v>4.0000000000000001E-3</c:v>
                  </c:pt>
                  <c:pt idx="6">
                    <c:v>7.7000000000000002E-3</c:v>
                  </c:pt>
                </c:numCache>
              </c:numRef>
            </c:plus>
            <c:minus>
              <c:numRef>
                <c:f>'R2_auc'!$S$5:$S$11</c:f>
                <c:numCache>
                  <c:formatCode>General</c:formatCode>
                  <c:ptCount val="7"/>
                  <c:pt idx="0">
                    <c:v>8.9999999999999998E-4</c:v>
                  </c:pt>
                  <c:pt idx="1">
                    <c:v>2.0000000000000001E-4</c:v>
                  </c:pt>
                  <c:pt idx="2">
                    <c:v>1E-3</c:v>
                  </c:pt>
                  <c:pt idx="3">
                    <c:v>6.9999999999999999E-4</c:v>
                  </c:pt>
                  <c:pt idx="4">
                    <c:v>3.3999999999999998E-3</c:v>
                  </c:pt>
                  <c:pt idx="5">
                    <c:v>4.0000000000000001E-3</c:v>
                  </c:pt>
                  <c:pt idx="6">
                    <c:v>7.7000000000000002E-3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34C1BE"/>
                </a:solidFill>
                <a:prstDash val="solid"/>
                <a:round/>
              </a:ln>
              <a:effectLst/>
            </c:spPr>
          </c:errBars>
          <c:xVal>
            <c:numRef>
              <c:f>'R2_auc'!$K$22:$K$28</c:f>
              <c:numCache>
                <c:formatCode>General</c:formatCode>
                <c:ptCount val="7"/>
                <c:pt idx="0">
                  <c:v>0.94</c:v>
                </c:pt>
                <c:pt idx="1">
                  <c:v>1.94</c:v>
                </c:pt>
                <c:pt idx="2">
                  <c:v>2.94</c:v>
                </c:pt>
                <c:pt idx="3">
                  <c:v>3.94</c:v>
                </c:pt>
                <c:pt idx="4">
                  <c:v>4.9400000000000004</c:v>
                </c:pt>
                <c:pt idx="5">
                  <c:v>5.94</c:v>
                </c:pt>
                <c:pt idx="6">
                  <c:v>6.94</c:v>
                </c:pt>
              </c:numCache>
            </c:numRef>
          </c:xVal>
          <c:yVal>
            <c:numRef>
              <c:f>'R2_auc'!$O$5:$O$11</c:f>
              <c:numCache>
                <c:formatCode>General</c:formatCode>
                <c:ptCount val="7"/>
                <c:pt idx="0">
                  <c:v>0.99739999999999995</c:v>
                </c:pt>
                <c:pt idx="1">
                  <c:v>0.99790000000000001</c:v>
                </c:pt>
                <c:pt idx="2">
                  <c:v>0.99129999999999996</c:v>
                </c:pt>
                <c:pt idx="3">
                  <c:v>0.98619999999999997</c:v>
                </c:pt>
                <c:pt idx="4">
                  <c:v>0.96779999999999999</c:v>
                </c:pt>
                <c:pt idx="5">
                  <c:v>0.93659999999999999</c:v>
                </c:pt>
                <c:pt idx="6">
                  <c:v>0.8871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81-4D42-9005-3DA09DFBA076}"/>
            </c:ext>
          </c:extLst>
        </c:ser>
        <c:ser>
          <c:idx val="1"/>
          <c:order val="1"/>
          <c:spPr>
            <a:ln w="19050" cap="rnd">
              <a:solidFill>
                <a:srgbClr val="2C988E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2C988E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'R2_auc'!$T$5:$T$11</c:f>
                <c:numCache>
                  <c:formatCode>General</c:formatCode>
                  <c:ptCount val="7"/>
                  <c:pt idx="0">
                    <c:v>6.9999999999999999E-4</c:v>
                  </c:pt>
                  <c:pt idx="1">
                    <c:v>5.9999999999999995E-4</c:v>
                  </c:pt>
                  <c:pt idx="2">
                    <c:v>1.4E-3</c:v>
                  </c:pt>
                  <c:pt idx="3">
                    <c:v>1.5E-3</c:v>
                  </c:pt>
                  <c:pt idx="4">
                    <c:v>2.0999999999999999E-3</c:v>
                  </c:pt>
                  <c:pt idx="5">
                    <c:v>1.46E-2</c:v>
                  </c:pt>
                  <c:pt idx="6">
                    <c:v>5.5999999999999999E-3</c:v>
                  </c:pt>
                </c:numCache>
              </c:numRef>
            </c:plus>
            <c:minus>
              <c:numRef>
                <c:f>'R2_auc'!$T$5:$T$11</c:f>
                <c:numCache>
                  <c:formatCode>General</c:formatCode>
                  <c:ptCount val="7"/>
                  <c:pt idx="0">
                    <c:v>6.9999999999999999E-4</c:v>
                  </c:pt>
                  <c:pt idx="1">
                    <c:v>5.9999999999999995E-4</c:v>
                  </c:pt>
                  <c:pt idx="2">
                    <c:v>1.4E-3</c:v>
                  </c:pt>
                  <c:pt idx="3">
                    <c:v>1.5E-3</c:v>
                  </c:pt>
                  <c:pt idx="4">
                    <c:v>2.0999999999999999E-3</c:v>
                  </c:pt>
                  <c:pt idx="5">
                    <c:v>1.46E-2</c:v>
                  </c:pt>
                  <c:pt idx="6">
                    <c:v>5.5999999999999999E-3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2C988E"/>
                </a:solidFill>
                <a:prstDash val="solid"/>
                <a:round/>
              </a:ln>
              <a:effectLst/>
            </c:spPr>
          </c:errBars>
          <c:xVal>
            <c:numRef>
              <c:f>'R2_auc'!$L$22:$L$28</c:f>
              <c:numCache>
                <c:formatCode>General</c:formatCode>
                <c:ptCount val="7"/>
                <c:pt idx="0">
                  <c:v>0.98</c:v>
                </c:pt>
                <c:pt idx="1">
                  <c:v>1.98</c:v>
                </c:pt>
                <c:pt idx="2">
                  <c:v>2.98</c:v>
                </c:pt>
                <c:pt idx="3">
                  <c:v>3.98</c:v>
                </c:pt>
                <c:pt idx="4">
                  <c:v>4.9800000000000004</c:v>
                </c:pt>
                <c:pt idx="5">
                  <c:v>5.98</c:v>
                </c:pt>
                <c:pt idx="6">
                  <c:v>6.98</c:v>
                </c:pt>
              </c:numCache>
            </c:numRef>
          </c:xVal>
          <c:yVal>
            <c:numRef>
              <c:f>'R2_auc'!$P$5:$P$11</c:f>
              <c:numCache>
                <c:formatCode>General</c:formatCode>
                <c:ptCount val="7"/>
                <c:pt idx="0">
                  <c:v>0.99750000000000005</c:v>
                </c:pt>
                <c:pt idx="1">
                  <c:v>0.99739999999999995</c:v>
                </c:pt>
                <c:pt idx="2">
                  <c:v>0.99109999999999998</c:v>
                </c:pt>
                <c:pt idx="3">
                  <c:v>0.98650000000000004</c:v>
                </c:pt>
                <c:pt idx="4">
                  <c:v>0.97499999999999998</c:v>
                </c:pt>
                <c:pt idx="5">
                  <c:v>0.93120000000000003</c:v>
                </c:pt>
                <c:pt idx="6">
                  <c:v>0.87919999999999998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81-4D42-9005-3DA09DFBA076}"/>
            </c:ext>
          </c:extLst>
        </c:ser>
        <c:ser>
          <c:idx val="2"/>
          <c:order val="2"/>
          <c:spPr>
            <a:ln w="19050" cap="rnd">
              <a:solidFill>
                <a:srgbClr val="88CDEC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88CDEC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'R2_auc'!$U$5:$U$11</c:f>
                <c:numCache>
                  <c:formatCode>General</c:formatCode>
                  <c:ptCount val="7"/>
                  <c:pt idx="0">
                    <c:v>5.9999999999999995E-4</c:v>
                  </c:pt>
                  <c:pt idx="1">
                    <c:v>5.9999999999999995E-4</c:v>
                  </c:pt>
                  <c:pt idx="2">
                    <c:v>8.9999999999999998E-4</c:v>
                  </c:pt>
                  <c:pt idx="3">
                    <c:v>2E-3</c:v>
                  </c:pt>
                  <c:pt idx="4">
                    <c:v>1.9E-3</c:v>
                  </c:pt>
                  <c:pt idx="5">
                    <c:v>1.8E-3</c:v>
                  </c:pt>
                  <c:pt idx="6">
                    <c:v>3.8E-3</c:v>
                  </c:pt>
                </c:numCache>
              </c:numRef>
            </c:plus>
            <c:minus>
              <c:numRef>
                <c:f>'R2_auc'!$U$5:$U$11</c:f>
                <c:numCache>
                  <c:formatCode>General</c:formatCode>
                  <c:ptCount val="7"/>
                  <c:pt idx="0">
                    <c:v>5.9999999999999995E-4</c:v>
                  </c:pt>
                  <c:pt idx="1">
                    <c:v>5.9999999999999995E-4</c:v>
                  </c:pt>
                  <c:pt idx="2">
                    <c:v>8.9999999999999998E-4</c:v>
                  </c:pt>
                  <c:pt idx="3">
                    <c:v>2E-3</c:v>
                  </c:pt>
                  <c:pt idx="4">
                    <c:v>1.9E-3</c:v>
                  </c:pt>
                  <c:pt idx="5">
                    <c:v>1.8E-3</c:v>
                  </c:pt>
                  <c:pt idx="6">
                    <c:v>3.8E-3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88CDEC"/>
                </a:solidFill>
                <a:prstDash val="solid"/>
                <a:round/>
              </a:ln>
              <a:effectLst/>
            </c:spPr>
          </c:errBars>
          <c:xVal>
            <c:numRef>
              <c:f>'R2_auc'!$M$22:$M$28</c:f>
              <c:numCache>
                <c:formatCode>General</c:formatCode>
                <c:ptCount val="7"/>
                <c:pt idx="0">
                  <c:v>1.02</c:v>
                </c:pt>
                <c:pt idx="1">
                  <c:v>2.02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6.02</c:v>
                </c:pt>
                <c:pt idx="6">
                  <c:v>7.02</c:v>
                </c:pt>
              </c:numCache>
            </c:numRef>
          </c:xVal>
          <c:yVal>
            <c:numRef>
              <c:f>'R2_auc'!$Q$5:$Q$11</c:f>
              <c:numCache>
                <c:formatCode>General</c:formatCode>
                <c:ptCount val="7"/>
                <c:pt idx="0">
                  <c:v>0.99739999999999995</c:v>
                </c:pt>
                <c:pt idx="1">
                  <c:v>0.99750000000000005</c:v>
                </c:pt>
                <c:pt idx="2">
                  <c:v>0.9919</c:v>
                </c:pt>
                <c:pt idx="3">
                  <c:v>0.98729999999999996</c:v>
                </c:pt>
                <c:pt idx="4">
                  <c:v>0.9778</c:v>
                </c:pt>
                <c:pt idx="5">
                  <c:v>0.95050000000000001</c:v>
                </c:pt>
                <c:pt idx="6">
                  <c:v>0.90190000000000003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81-4D42-9005-3DA09DFBA076}"/>
            </c:ext>
          </c:extLst>
        </c:ser>
        <c:ser>
          <c:idx val="3"/>
          <c:order val="3"/>
          <c:spPr>
            <a:ln w="19050" cap="rnd">
              <a:solidFill>
                <a:srgbClr val="1482E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1482E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'R2_auc'!$V$5:$V$11</c:f>
                <c:numCache>
                  <c:formatCode>General</c:formatCode>
                  <c:ptCount val="7"/>
                  <c:pt idx="0">
                    <c:v>5.0000000000000001E-4</c:v>
                  </c:pt>
                  <c:pt idx="1">
                    <c:v>2.0000000000000001E-4</c:v>
                  </c:pt>
                  <c:pt idx="2">
                    <c:v>1E-3</c:v>
                  </c:pt>
                  <c:pt idx="3">
                    <c:v>1.1999999999999999E-3</c:v>
                  </c:pt>
                  <c:pt idx="4">
                    <c:v>8.9999999999999998E-4</c:v>
                  </c:pt>
                  <c:pt idx="5">
                    <c:v>2.5999999999999999E-3</c:v>
                  </c:pt>
                  <c:pt idx="6">
                    <c:v>4.4999999999999997E-3</c:v>
                  </c:pt>
                </c:numCache>
              </c:numRef>
            </c:plus>
            <c:minus>
              <c:numRef>
                <c:f>'R2_auc'!$V$5:$V$11</c:f>
                <c:numCache>
                  <c:formatCode>General</c:formatCode>
                  <c:ptCount val="7"/>
                  <c:pt idx="0">
                    <c:v>5.0000000000000001E-4</c:v>
                  </c:pt>
                  <c:pt idx="1">
                    <c:v>2.0000000000000001E-4</c:v>
                  </c:pt>
                  <c:pt idx="2">
                    <c:v>1E-3</c:v>
                  </c:pt>
                  <c:pt idx="3">
                    <c:v>1.1999999999999999E-3</c:v>
                  </c:pt>
                  <c:pt idx="4">
                    <c:v>8.9999999999999998E-4</c:v>
                  </c:pt>
                  <c:pt idx="5">
                    <c:v>2.5999999999999999E-3</c:v>
                  </c:pt>
                  <c:pt idx="6">
                    <c:v>4.4999999999999997E-3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1482E6"/>
                </a:solidFill>
                <a:round/>
              </a:ln>
              <a:effectLst/>
            </c:spPr>
          </c:errBars>
          <c:xVal>
            <c:numRef>
              <c:f>'R2_auc'!$N$22:$N$28</c:f>
              <c:numCache>
                <c:formatCode>General</c:formatCode>
                <c:ptCount val="7"/>
                <c:pt idx="0">
                  <c:v>1.06</c:v>
                </c:pt>
                <c:pt idx="1">
                  <c:v>2.06</c:v>
                </c:pt>
                <c:pt idx="2">
                  <c:v>3.06</c:v>
                </c:pt>
                <c:pt idx="3">
                  <c:v>4.0599999999999996</c:v>
                </c:pt>
                <c:pt idx="4">
                  <c:v>5.0599999999999996</c:v>
                </c:pt>
                <c:pt idx="5">
                  <c:v>6.06</c:v>
                </c:pt>
                <c:pt idx="6">
                  <c:v>7.06</c:v>
                </c:pt>
              </c:numCache>
            </c:numRef>
          </c:xVal>
          <c:yVal>
            <c:numRef>
              <c:f>'R2_auc'!$R$5:$R$11</c:f>
              <c:numCache>
                <c:formatCode>General</c:formatCode>
                <c:ptCount val="7"/>
                <c:pt idx="0">
                  <c:v>0.99860000000000004</c:v>
                </c:pt>
                <c:pt idx="1">
                  <c:v>0.99870000000000003</c:v>
                </c:pt>
                <c:pt idx="2">
                  <c:v>0.99380000000000002</c:v>
                </c:pt>
                <c:pt idx="3">
                  <c:v>0.99009999999999998</c:v>
                </c:pt>
                <c:pt idx="4">
                  <c:v>0.98070000000000002</c:v>
                </c:pt>
                <c:pt idx="5">
                  <c:v>0.95440000000000003</c:v>
                </c:pt>
                <c:pt idx="6">
                  <c:v>0.91010000000000002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81-4D42-9005-3DA09DFBA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63439"/>
        <c:axId val="1030761999"/>
      </c:scatterChart>
      <c:valAx>
        <c:axId val="1030763439"/>
        <c:scaling>
          <c:orientation val="minMax"/>
          <c:min val="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761999"/>
        <c:crosses val="autoZero"/>
        <c:crossBetween val="midCat"/>
      </c:valAx>
      <c:valAx>
        <c:axId val="1030761999"/>
        <c:scaling>
          <c:orientation val="minMax"/>
          <c:max val="1.01"/>
          <c:min val="0.87000000000000011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763439"/>
        <c:crosses val="autoZero"/>
        <c:crossBetween val="midCat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6335088366011253E-2"/>
          <c:y val="0.22092793608838332"/>
          <c:w val="0.8812724303638233"/>
          <c:h val="0.690241861620891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1482E6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1482E6"/>
                </a:solidFill>
              </a:ln>
              <a:effectLst/>
            </c:spPr>
          </c:marker>
          <c:xVal>
            <c:numRef>
              <c:f>'R2_auc'!$Y$7:$Y$9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'R2_auc'!$Z$7:$Z$9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2-4B94-A8C6-57B6389379A5}"/>
            </c:ext>
          </c:extLst>
        </c:ser>
        <c:ser>
          <c:idx val="1"/>
          <c:order val="1"/>
          <c:spPr>
            <a:ln w="19050" cap="rnd">
              <a:solidFill>
                <a:srgbClr val="88CDEC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88CDEC"/>
                </a:solidFill>
              </a:ln>
              <a:effectLst/>
            </c:spPr>
          </c:marker>
          <c:xVal>
            <c:numRef>
              <c:f>'R2_auc'!$Y$7:$Y$9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'R2_auc'!$AA$7:$AA$9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72-4B94-A8C6-57B6389379A5}"/>
            </c:ext>
          </c:extLst>
        </c:ser>
        <c:ser>
          <c:idx val="2"/>
          <c:order val="2"/>
          <c:tx>
            <c:strRef>
              <c:f>'R2_auc'!$Y$7:$Y$9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tx>
          <c:spPr>
            <a:ln w="19050" cap="rnd">
              <a:solidFill>
                <a:srgbClr val="2C988E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2C988E"/>
                </a:solidFill>
              </a:ln>
              <a:effectLst/>
            </c:spPr>
          </c:marker>
          <c:xVal>
            <c:numRef>
              <c:f>'R2_auc'!$Y$7:$Y$9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'R2_auc'!$AB$7:$AB$9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72-4B94-A8C6-57B6389379A5}"/>
            </c:ext>
          </c:extLst>
        </c:ser>
        <c:ser>
          <c:idx val="3"/>
          <c:order val="3"/>
          <c:spPr>
            <a:ln w="19050" cap="rnd">
              <a:solidFill>
                <a:srgbClr val="34C1BE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rgbClr val="34C1BE"/>
                </a:solidFill>
              </a:ln>
              <a:effectLst/>
            </c:spPr>
          </c:marker>
          <c:xVal>
            <c:numRef>
              <c:f>'R2_auc'!$Y$7:$Y$9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'R2_auc'!$AC$7:$AC$9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72-4B94-A8C6-57B638937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16896"/>
        <c:axId val="1856219776"/>
      </c:scatterChart>
      <c:valAx>
        <c:axId val="18562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6219776"/>
        <c:crosses val="autoZero"/>
        <c:crossBetween val="midCat"/>
      </c:valAx>
      <c:valAx>
        <c:axId val="185621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621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39114194695124E-2"/>
          <c:y val="4.3890281208833225E-2"/>
          <c:w val="0.9037420894907221"/>
          <c:h val="0.91221943758233359"/>
        </c:manualLayout>
      </c:layout>
      <c:scatterChart>
        <c:scatterStyle val="smoothMarker"/>
        <c:varyColors val="0"/>
        <c:ser>
          <c:idx val="0"/>
          <c:order val="0"/>
          <c:tx>
            <c:v>100% Classification Threshold</c:v>
          </c:tx>
          <c:spPr>
            <a:ln w="19050" cap="rnd">
              <a:solidFill>
                <a:srgbClr val="2C988E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rgbClr val="34C1BE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'100%'!$L$7:$L$13</c:f>
                <c:numCache>
                  <c:formatCode>General</c:formatCode>
                  <c:ptCount val="7"/>
                  <c:pt idx="0">
                    <c:v>4.2807160615953029E-2</c:v>
                  </c:pt>
                  <c:pt idx="1">
                    <c:v>1.4617694756698127E-2</c:v>
                  </c:pt>
                  <c:pt idx="2">
                    <c:v>1.8884554535386663E-2</c:v>
                  </c:pt>
                  <c:pt idx="3">
                    <c:v>1.4237296091603912E-2</c:v>
                  </c:pt>
                  <c:pt idx="4">
                    <c:v>2.8770342368487873E-2</c:v>
                  </c:pt>
                  <c:pt idx="5">
                    <c:v>1.4851935900750447E-2</c:v>
                  </c:pt>
                  <c:pt idx="6">
                    <c:v>1.309997709921662E-2</c:v>
                  </c:pt>
                </c:numCache>
              </c:numRef>
            </c:plus>
            <c:minus>
              <c:numRef>
                <c:f>'100%'!$L$7:$L$13</c:f>
                <c:numCache>
                  <c:formatCode>General</c:formatCode>
                  <c:ptCount val="7"/>
                  <c:pt idx="0">
                    <c:v>4.2807160615953029E-2</c:v>
                  </c:pt>
                  <c:pt idx="1">
                    <c:v>1.4617694756698127E-2</c:v>
                  </c:pt>
                  <c:pt idx="2">
                    <c:v>1.8884554535386663E-2</c:v>
                  </c:pt>
                  <c:pt idx="3">
                    <c:v>1.4237296091603912E-2</c:v>
                  </c:pt>
                  <c:pt idx="4">
                    <c:v>2.8770342368487873E-2</c:v>
                  </c:pt>
                  <c:pt idx="5">
                    <c:v>1.4851935900750447E-2</c:v>
                  </c:pt>
                  <c:pt idx="6">
                    <c:v>1.309997709921662E-2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2C988E"/>
                </a:solidFill>
                <a:round/>
              </a:ln>
              <a:effectLst/>
            </c:spPr>
          </c:errBars>
          <c:xVal>
            <c:numRef>
              <c:f>'100%'!$B$7:$B$13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'100%'!$I$7:$I$13</c:f>
              <c:numCache>
                <c:formatCode>General</c:formatCode>
                <c:ptCount val="7"/>
                <c:pt idx="0">
                  <c:v>0.36629999999999996</c:v>
                </c:pt>
                <c:pt idx="1">
                  <c:v>0.3385999999999999</c:v>
                </c:pt>
                <c:pt idx="2">
                  <c:v>0.34292</c:v>
                </c:pt>
                <c:pt idx="3">
                  <c:v>0.36746000000000001</c:v>
                </c:pt>
                <c:pt idx="4">
                  <c:v>0.39323999999999992</c:v>
                </c:pt>
                <c:pt idx="5">
                  <c:v>0.42659999999999998</c:v>
                </c:pt>
                <c:pt idx="6">
                  <c:v>0.40781999999999996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4D-4D66-97F6-E93083B24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63439"/>
        <c:axId val="1030761999"/>
      </c:scatterChart>
      <c:valAx>
        <c:axId val="1030763439"/>
        <c:scaling>
          <c:orientation val="minMax"/>
          <c:min val="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761999"/>
        <c:crosses val="autoZero"/>
        <c:crossBetween val="midCat"/>
      </c:valAx>
      <c:valAx>
        <c:axId val="1030761999"/>
        <c:scaling>
          <c:orientation val="minMax"/>
          <c:max val="0.43000000000000005"/>
          <c:min val="0.3200000000000000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763439"/>
        <c:crosses val="autoZero"/>
        <c:crossBetween val="midCat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589091</xdr:colOff>
      <xdr:row>14</xdr:row>
      <xdr:rowOff>125314</xdr:rowOff>
    </xdr:from>
    <xdr:to>
      <xdr:col>9</xdr:col>
      <xdr:colOff>48272</xdr:colOff>
      <xdr:row>28</xdr:row>
      <xdr:rowOff>152910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8CB199F-1B92-52D5-DE6F-08E6B21F4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326930</xdr:colOff>
      <xdr:row>14</xdr:row>
      <xdr:rowOff>86062</xdr:rowOff>
    </xdr:from>
    <xdr:to>
      <xdr:col>22</xdr:col>
      <xdr:colOff>533261</xdr:colOff>
      <xdr:row>28</xdr:row>
      <xdr:rowOff>68598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83CFD66-FFB7-4106-B1D6-8E95DC99C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283688</xdr:colOff>
      <xdr:row>11</xdr:row>
      <xdr:rowOff>112816</xdr:rowOff>
    </xdr:from>
    <xdr:to>
      <xdr:col>31</xdr:col>
      <xdr:colOff>249052</xdr:colOff>
      <xdr:row>23</xdr:row>
      <xdr:rowOff>85108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0F48EF-A2F6-7ACF-9F3D-29A5A7017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2</xdr:row>
      <xdr:rowOff>69850</xdr:rowOff>
    </xdr:from>
    <xdr:to>
      <xdr:col>20</xdr:col>
      <xdr:colOff>7843</xdr:colOff>
      <xdr:row>17</xdr:row>
      <xdr:rowOff>69850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656BD68-C997-42DF-9894-DED8323A9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7002-DFA5-40B6-8239-F905667D2915}">
  <dimension ref="A2:AC44"/>
  <sheetViews>
    <sheetView tabSelected="1" topLeftCell="A11" zoomScale="70" zoomScaleNormal="100" workbookViewId="0">
      <selection activeCell="Z29" sqref="Z29"/>
    </sheetView>
  </sheetViews>
  <sheetFormatPr defaultRowHeight="18" x14ac:dyDescent="0.55000000000000004"/>
  <cols>
    <col min="10" max="10" width="8.4140625" customWidth="1"/>
    <col min="11" max="11" width="5.1640625" customWidth="1"/>
    <col min="12" max="12" width="5" customWidth="1"/>
    <col min="13" max="13" width="5.1640625" customWidth="1"/>
    <col min="14" max="14" width="5.33203125" customWidth="1"/>
  </cols>
  <sheetData>
    <row r="2" spans="1:29" x14ac:dyDescent="0.55000000000000004">
      <c r="A2" s="5" t="s">
        <v>0</v>
      </c>
    </row>
    <row r="3" spans="1:29" ht="20" x14ac:dyDescent="0.55000000000000004">
      <c r="F3" t="s">
        <v>17</v>
      </c>
      <c r="N3" s="5" t="s">
        <v>1</v>
      </c>
      <c r="S3" t="s">
        <v>17</v>
      </c>
    </row>
    <row r="4" spans="1:29" x14ac:dyDescent="0.55000000000000004">
      <c r="A4" t="s">
        <v>6</v>
      </c>
      <c r="B4" t="s">
        <v>2</v>
      </c>
      <c r="C4" t="s">
        <v>3</v>
      </c>
      <c r="D4" t="s">
        <v>4</v>
      </c>
      <c r="E4" t="s">
        <v>5</v>
      </c>
      <c r="O4" t="s">
        <v>2</v>
      </c>
      <c r="P4" t="s">
        <v>3</v>
      </c>
      <c r="Q4" t="s">
        <v>4</v>
      </c>
      <c r="R4" t="s">
        <v>5</v>
      </c>
    </row>
    <row r="5" spans="1:29" ht="36" x14ac:dyDescent="0.55000000000000004">
      <c r="A5" s="1" t="s">
        <v>8</v>
      </c>
      <c r="B5" s="1">
        <v>0.99180000000000001</v>
      </c>
      <c r="C5" s="1">
        <v>0.995</v>
      </c>
      <c r="D5" s="1">
        <v>0.9929</v>
      </c>
      <c r="E5" s="1">
        <v>0.99619999999999997</v>
      </c>
      <c r="F5" s="1">
        <v>5.5999999999999999E-3</v>
      </c>
      <c r="G5" s="1">
        <v>2.2000000000000001E-3</v>
      </c>
      <c r="H5" s="1">
        <v>2.3E-3</v>
      </c>
      <c r="I5" s="1">
        <v>2.5999999999999999E-3</v>
      </c>
      <c r="N5" s="1" t="s">
        <v>8</v>
      </c>
      <c r="O5" s="1">
        <v>0.99739999999999995</v>
      </c>
      <c r="P5" s="1">
        <v>0.99750000000000005</v>
      </c>
      <c r="Q5" s="1">
        <v>0.99739999999999995</v>
      </c>
      <c r="R5" s="1">
        <v>0.99860000000000004</v>
      </c>
      <c r="S5" s="1">
        <v>8.9999999999999998E-4</v>
      </c>
      <c r="T5" s="1">
        <v>6.9999999999999999E-4</v>
      </c>
      <c r="U5" s="1">
        <v>5.9999999999999995E-4</v>
      </c>
      <c r="V5" s="1">
        <v>5.0000000000000001E-4</v>
      </c>
    </row>
    <row r="6" spans="1:29" x14ac:dyDescent="0.55000000000000004">
      <c r="A6" s="1">
        <v>0</v>
      </c>
      <c r="B6" s="1">
        <v>0.99509999999999998</v>
      </c>
      <c r="C6" s="1">
        <v>0.99229999999999996</v>
      </c>
      <c r="D6" s="1">
        <v>0.99280000000000002</v>
      </c>
      <c r="E6" s="1">
        <v>0.99680000000000002</v>
      </c>
      <c r="F6" s="1">
        <v>1.8E-3</v>
      </c>
      <c r="G6" s="1">
        <v>4.4999999999999997E-3</v>
      </c>
      <c r="H6" s="1">
        <v>1.4E-3</v>
      </c>
      <c r="I6" s="1">
        <v>1.6999999999999999E-3</v>
      </c>
      <c r="N6" s="1">
        <v>0</v>
      </c>
      <c r="O6" s="1">
        <v>0.99790000000000001</v>
      </c>
      <c r="P6" s="1">
        <v>0.99739999999999995</v>
      </c>
      <c r="Q6" s="1">
        <v>0.99750000000000005</v>
      </c>
      <c r="R6" s="1">
        <v>0.99870000000000003</v>
      </c>
      <c r="S6" s="1">
        <v>2.0000000000000001E-4</v>
      </c>
      <c r="T6" s="1">
        <v>5.9999999999999995E-4</v>
      </c>
      <c r="U6" s="1">
        <v>5.9999999999999995E-4</v>
      </c>
      <c r="V6" s="1">
        <v>2.0000000000000001E-4</v>
      </c>
    </row>
    <row r="7" spans="1:29" x14ac:dyDescent="0.55000000000000004">
      <c r="A7" s="1">
        <v>-4</v>
      </c>
      <c r="B7" s="1">
        <v>0.98</v>
      </c>
      <c r="C7" s="1">
        <v>0.98280000000000001</v>
      </c>
      <c r="D7" s="1">
        <v>0.98150000000000004</v>
      </c>
      <c r="E7" s="1">
        <v>0.98380000000000001</v>
      </c>
      <c r="F7" s="1">
        <v>7.1000000000000004E-3</v>
      </c>
      <c r="G7" s="1">
        <v>4.1999999999999997E-3</v>
      </c>
      <c r="H7" s="1">
        <v>3.5999999999999999E-3</v>
      </c>
      <c r="I7" s="1">
        <v>6.7000000000000002E-3</v>
      </c>
      <c r="N7" s="1">
        <v>-4</v>
      </c>
      <c r="O7" s="1">
        <v>0.99129999999999996</v>
      </c>
      <c r="P7" s="1">
        <v>0.99109999999999998</v>
      </c>
      <c r="Q7" s="1">
        <v>0.9919</v>
      </c>
      <c r="R7" s="1">
        <v>0.99380000000000002</v>
      </c>
      <c r="S7" s="1">
        <v>1E-3</v>
      </c>
      <c r="T7" s="1">
        <v>1.4E-3</v>
      </c>
      <c r="U7" s="1">
        <v>8.9999999999999998E-4</v>
      </c>
      <c r="V7" s="1">
        <v>1E-3</v>
      </c>
      <c r="Y7" s="1">
        <v>1</v>
      </c>
      <c r="Z7" s="1">
        <v>3</v>
      </c>
      <c r="AA7" s="1">
        <v>4</v>
      </c>
      <c r="AB7" s="1">
        <v>5</v>
      </c>
      <c r="AC7" s="1">
        <v>6</v>
      </c>
    </row>
    <row r="8" spans="1:29" x14ac:dyDescent="0.55000000000000004">
      <c r="A8" s="1">
        <v>-8</v>
      </c>
      <c r="B8" s="1">
        <v>0.9677</v>
      </c>
      <c r="C8" s="1">
        <v>0.97409999999999997</v>
      </c>
      <c r="D8" s="1">
        <v>0.97309999999999997</v>
      </c>
      <c r="E8" s="1">
        <v>0.97740000000000005</v>
      </c>
      <c r="F8" s="1">
        <v>3.7000000000000002E-3</v>
      </c>
      <c r="G8" s="1">
        <v>5.8999999999999999E-3</v>
      </c>
      <c r="H8" s="1">
        <v>3.3999999999999998E-3</v>
      </c>
      <c r="I8" s="1">
        <v>3.0999999999999999E-3</v>
      </c>
      <c r="N8" s="1">
        <v>-8</v>
      </c>
      <c r="O8" s="1">
        <v>0.98619999999999997</v>
      </c>
      <c r="P8" s="1">
        <v>0.98650000000000004</v>
      </c>
      <c r="Q8" s="1">
        <v>0.98729999999999996</v>
      </c>
      <c r="R8" s="1">
        <v>0.99009999999999998</v>
      </c>
      <c r="S8" s="1">
        <v>6.9999999999999999E-4</v>
      </c>
      <c r="T8" s="1">
        <v>1.5E-3</v>
      </c>
      <c r="U8" s="1">
        <v>2E-3</v>
      </c>
      <c r="V8" s="1">
        <v>1.1999999999999999E-3</v>
      </c>
      <c r="Y8" s="1">
        <v>2</v>
      </c>
      <c r="Z8" s="1">
        <v>3</v>
      </c>
      <c r="AA8" s="1">
        <v>4</v>
      </c>
      <c r="AB8" s="1">
        <v>5</v>
      </c>
      <c r="AC8" s="1">
        <v>6</v>
      </c>
    </row>
    <row r="9" spans="1:29" x14ac:dyDescent="0.55000000000000004">
      <c r="A9" s="1">
        <v>-12</v>
      </c>
      <c r="B9" s="1">
        <v>0.94730000000000003</v>
      </c>
      <c r="C9" s="1">
        <v>0.96389999999999998</v>
      </c>
      <c r="D9" s="1">
        <v>0.96109999999999995</v>
      </c>
      <c r="E9" s="1">
        <v>0.96479999999999999</v>
      </c>
      <c r="F9" s="1">
        <v>9.1999999999999998E-3</v>
      </c>
      <c r="G9" s="1">
        <v>6.8999999999999999E-3</v>
      </c>
      <c r="H9" s="1">
        <v>5.4999999999999997E-3</v>
      </c>
      <c r="I9" s="1">
        <v>6.4000000000000003E-3</v>
      </c>
      <c r="N9" s="1">
        <v>-12</v>
      </c>
      <c r="O9" s="1">
        <v>0.96779999999999999</v>
      </c>
      <c r="P9" s="1">
        <v>0.97499999999999998</v>
      </c>
      <c r="Q9" s="1">
        <v>0.9778</v>
      </c>
      <c r="R9" s="1">
        <v>0.98070000000000002</v>
      </c>
      <c r="S9" s="1">
        <v>3.3999999999999998E-3</v>
      </c>
      <c r="T9" s="1">
        <v>2.0999999999999999E-3</v>
      </c>
      <c r="U9" s="1">
        <v>1.9E-3</v>
      </c>
      <c r="V9" s="1">
        <v>8.9999999999999998E-4</v>
      </c>
      <c r="Y9" s="1">
        <v>3</v>
      </c>
      <c r="Z9" s="1">
        <v>3</v>
      </c>
      <c r="AA9" s="1">
        <v>4</v>
      </c>
      <c r="AB9" s="1">
        <v>5</v>
      </c>
      <c r="AC9" s="1">
        <v>6</v>
      </c>
    </row>
    <row r="10" spans="1:29" x14ac:dyDescent="0.55000000000000004">
      <c r="A10" s="1">
        <v>-16</v>
      </c>
      <c r="B10" s="1">
        <v>0.92720000000000002</v>
      </c>
      <c r="C10" s="1">
        <v>0.93789999999999996</v>
      </c>
      <c r="D10" s="1">
        <v>0.93600000000000005</v>
      </c>
      <c r="E10" s="1">
        <v>0.93779999999999997</v>
      </c>
      <c r="F10" s="1">
        <v>9.4000000000000004E-3</v>
      </c>
      <c r="G10" s="1">
        <v>9.1000000000000004E-3</v>
      </c>
      <c r="H10" s="1">
        <v>9.5999999999999992E-3</v>
      </c>
      <c r="I10" s="1">
        <v>8.3999999999999995E-3</v>
      </c>
      <c r="N10" s="1">
        <v>-16</v>
      </c>
      <c r="O10" s="1">
        <v>0.93659999999999999</v>
      </c>
      <c r="P10" s="1">
        <v>0.93120000000000003</v>
      </c>
      <c r="Q10" s="1">
        <v>0.95050000000000001</v>
      </c>
      <c r="R10" s="1">
        <v>0.95440000000000003</v>
      </c>
      <c r="S10" s="1">
        <v>4.0000000000000001E-3</v>
      </c>
      <c r="T10" s="1">
        <v>1.46E-2</v>
      </c>
      <c r="U10" s="1">
        <v>1.8E-3</v>
      </c>
      <c r="V10" s="1">
        <v>2.5999999999999999E-3</v>
      </c>
    </row>
    <row r="11" spans="1:29" x14ac:dyDescent="0.55000000000000004">
      <c r="A11" s="1">
        <v>-20</v>
      </c>
      <c r="B11" s="1">
        <v>0.91069999999999995</v>
      </c>
      <c r="C11" s="1">
        <v>0.90810000000000002</v>
      </c>
      <c r="D11" s="1">
        <v>0.91039999999999999</v>
      </c>
      <c r="E11" s="1">
        <v>0.91649999999999998</v>
      </c>
      <c r="F11" s="1">
        <v>6.8999999999999999E-3</v>
      </c>
      <c r="G11" s="1">
        <v>1.11E-2</v>
      </c>
      <c r="H11" s="1">
        <v>6.1999999999999998E-3</v>
      </c>
      <c r="I11" s="1">
        <v>7.0000000000000001E-3</v>
      </c>
      <c r="N11" s="1">
        <v>-20</v>
      </c>
      <c r="O11" s="1">
        <v>0.8871</v>
      </c>
      <c r="P11" s="1">
        <v>0.87919999999999998</v>
      </c>
      <c r="Q11" s="1">
        <v>0.90190000000000003</v>
      </c>
      <c r="R11" s="1">
        <v>0.91010000000000002</v>
      </c>
      <c r="S11" s="1">
        <v>7.7000000000000002E-3</v>
      </c>
      <c r="T11" s="1">
        <v>5.5999999999999999E-3</v>
      </c>
      <c r="U11" s="1">
        <v>3.8E-3</v>
      </c>
      <c r="V11" s="1">
        <v>4.4999999999999997E-3</v>
      </c>
    </row>
    <row r="21" spans="2:14" x14ac:dyDescent="0.55000000000000004">
      <c r="K21" t="s">
        <v>22</v>
      </c>
    </row>
    <row r="22" spans="2:14" x14ac:dyDescent="0.55000000000000004">
      <c r="K22">
        <v>0.94</v>
      </c>
      <c r="L22">
        <v>0.98</v>
      </c>
      <c r="M22">
        <v>1.02</v>
      </c>
      <c r="N22">
        <v>1.06</v>
      </c>
    </row>
    <row r="23" spans="2:14" x14ac:dyDescent="0.55000000000000004">
      <c r="K23">
        <v>1.94</v>
      </c>
      <c r="L23">
        <v>1.98</v>
      </c>
      <c r="M23">
        <v>2.02</v>
      </c>
      <c r="N23">
        <v>2.06</v>
      </c>
    </row>
    <row r="24" spans="2:14" x14ac:dyDescent="0.55000000000000004">
      <c r="K24">
        <v>2.94</v>
      </c>
      <c r="L24">
        <v>2.98</v>
      </c>
      <c r="M24">
        <v>3.02</v>
      </c>
      <c r="N24">
        <v>3.06</v>
      </c>
    </row>
    <row r="25" spans="2:14" x14ac:dyDescent="0.55000000000000004">
      <c r="K25">
        <v>3.94</v>
      </c>
      <c r="L25">
        <v>3.98</v>
      </c>
      <c r="M25">
        <v>4.0199999999999996</v>
      </c>
      <c r="N25">
        <v>4.0599999999999996</v>
      </c>
    </row>
    <row r="26" spans="2:14" x14ac:dyDescent="0.55000000000000004">
      <c r="K26">
        <v>4.9400000000000004</v>
      </c>
      <c r="L26">
        <v>4.9800000000000004</v>
      </c>
      <c r="M26">
        <v>5.0199999999999996</v>
      </c>
      <c r="N26">
        <v>5.0599999999999996</v>
      </c>
    </row>
    <row r="27" spans="2:14" x14ac:dyDescent="0.55000000000000004">
      <c r="K27">
        <v>5.94</v>
      </c>
      <c r="L27">
        <v>5.98</v>
      </c>
      <c r="M27">
        <v>6.02</v>
      </c>
      <c r="N27">
        <v>6.06</v>
      </c>
    </row>
    <row r="28" spans="2:14" x14ac:dyDescent="0.55000000000000004">
      <c r="K28">
        <v>6.94</v>
      </c>
      <c r="L28">
        <v>6.98</v>
      </c>
      <c r="M28">
        <v>7.02</v>
      </c>
      <c r="N28">
        <v>7.06</v>
      </c>
    </row>
    <row r="29" spans="2:14" x14ac:dyDescent="0.55000000000000004">
      <c r="B29" s="1"/>
      <c r="C29" s="1"/>
      <c r="D29" s="1"/>
      <c r="E29" s="1"/>
      <c r="F29" s="1"/>
      <c r="G29" s="1"/>
      <c r="H29" s="1"/>
      <c r="I29" s="1"/>
      <c r="J29" s="1"/>
    </row>
    <row r="30" spans="2:14" x14ac:dyDescent="0.55000000000000004">
      <c r="B30" s="1"/>
      <c r="C30" s="1"/>
      <c r="D30" s="1"/>
      <c r="E30" s="1"/>
      <c r="F30" s="1"/>
      <c r="G30" s="1"/>
      <c r="H30" s="1"/>
      <c r="I30" s="1"/>
      <c r="J30" s="1"/>
    </row>
    <row r="31" spans="2:14" x14ac:dyDescent="0.55000000000000004">
      <c r="B31" s="1"/>
      <c r="C31" s="1"/>
      <c r="D31" s="1"/>
      <c r="E31" s="1"/>
      <c r="F31" s="1"/>
      <c r="G31" s="1"/>
      <c r="H31" s="1"/>
      <c r="I31" s="1"/>
      <c r="J31" s="1"/>
    </row>
    <row r="32" spans="2:14" x14ac:dyDescent="0.55000000000000004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55000000000000004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55000000000000004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55000000000000004">
      <c r="B35" s="1"/>
      <c r="C35" s="1"/>
      <c r="D35" s="1"/>
      <c r="E35" s="1"/>
      <c r="F35" s="1"/>
      <c r="G35" s="1"/>
      <c r="H35" s="1"/>
      <c r="I35" s="1"/>
      <c r="J35" s="1"/>
    </row>
    <row r="38" spans="2:10" x14ac:dyDescent="0.55000000000000004">
      <c r="B38" s="1"/>
      <c r="C38" s="1"/>
      <c r="D38" s="1"/>
      <c r="E38" s="1"/>
      <c r="F38" s="1"/>
      <c r="G38" s="1"/>
      <c r="H38" s="1"/>
      <c r="I38" s="1"/>
      <c r="J38" s="1"/>
    </row>
    <row r="39" spans="2:10" x14ac:dyDescent="0.55000000000000004">
      <c r="B39" s="1"/>
      <c r="C39" s="1"/>
      <c r="D39" s="1"/>
      <c r="E39" s="1"/>
      <c r="F39" s="1"/>
      <c r="G39" s="1"/>
      <c r="H39" s="1"/>
      <c r="I39" s="1"/>
      <c r="J39" s="1"/>
    </row>
    <row r="40" spans="2:10" x14ac:dyDescent="0.55000000000000004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55000000000000004">
      <c r="B41" s="1"/>
      <c r="C41" s="1"/>
      <c r="D41" s="1"/>
      <c r="E41" s="1"/>
      <c r="F41" s="1"/>
      <c r="G41" s="1"/>
      <c r="H41" s="1"/>
      <c r="I41" s="1"/>
      <c r="J41" s="1"/>
    </row>
    <row r="42" spans="2:10" x14ac:dyDescent="0.55000000000000004">
      <c r="B42" s="1"/>
      <c r="C42" s="1"/>
      <c r="D42" s="1"/>
      <c r="E42" s="1"/>
      <c r="F42" s="1"/>
      <c r="G42" s="1"/>
      <c r="H42" s="1"/>
      <c r="I42" s="1"/>
      <c r="J42" s="1"/>
    </row>
    <row r="43" spans="2:10" x14ac:dyDescent="0.55000000000000004">
      <c r="B43" s="1"/>
      <c r="C43" s="1"/>
      <c r="D43" s="1"/>
      <c r="E43" s="1"/>
      <c r="F43" s="1"/>
      <c r="G43" s="1"/>
      <c r="H43" s="1"/>
      <c r="I43" s="1"/>
      <c r="J43" s="1"/>
    </row>
    <row r="44" spans="2:10" x14ac:dyDescent="0.55000000000000004">
      <c r="B44" s="1"/>
      <c r="C44" s="1"/>
      <c r="D44" s="1"/>
      <c r="E44" s="1"/>
      <c r="F44" s="1"/>
      <c r="G44" s="1"/>
      <c r="H44" s="1"/>
      <c r="I44" s="1"/>
      <c r="J44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E05F-2CA6-4EB3-BD75-095CBB69F9B3}">
  <dimension ref="B3:M13"/>
  <sheetViews>
    <sheetView topLeftCell="A9" zoomScale="118" workbookViewId="0">
      <selection activeCell="J17" sqref="J17"/>
    </sheetView>
  </sheetViews>
  <sheetFormatPr defaultRowHeight="18" x14ac:dyDescent="0.55000000000000004"/>
  <sheetData>
    <row r="3" spans="2:13" x14ac:dyDescent="0.55000000000000004">
      <c r="B3" t="s">
        <v>9</v>
      </c>
    </row>
    <row r="4" spans="2:13" x14ac:dyDescent="0.55000000000000004">
      <c r="B4" t="s">
        <v>10</v>
      </c>
    </row>
    <row r="5" spans="2:13" x14ac:dyDescent="0.55000000000000004">
      <c r="D5" t="s">
        <v>11</v>
      </c>
    </row>
    <row r="6" spans="2:13" x14ac:dyDescent="0.55000000000000004">
      <c r="C6" t="s">
        <v>6</v>
      </c>
      <c r="D6">
        <v>1</v>
      </c>
      <c r="E6">
        <v>2</v>
      </c>
      <c r="F6">
        <v>3</v>
      </c>
      <c r="G6">
        <v>4</v>
      </c>
      <c r="H6">
        <v>5</v>
      </c>
      <c r="I6" t="s">
        <v>12</v>
      </c>
      <c r="J6" t="s">
        <v>14</v>
      </c>
      <c r="K6" t="s">
        <v>15</v>
      </c>
      <c r="L6" t="s">
        <v>13</v>
      </c>
      <c r="M6" t="s">
        <v>16</v>
      </c>
    </row>
    <row r="7" spans="2:13" x14ac:dyDescent="0.55000000000000004">
      <c r="B7">
        <v>1</v>
      </c>
      <c r="C7" t="s">
        <v>7</v>
      </c>
      <c r="D7">
        <v>0.53349999999999997</v>
      </c>
      <c r="E7">
        <v>0.30380000000000001</v>
      </c>
      <c r="F7">
        <v>0.35720000000000002</v>
      </c>
      <c r="G7">
        <v>0.31030000000000002</v>
      </c>
      <c r="H7">
        <v>0.32669999999999999</v>
      </c>
      <c r="I7">
        <f>AVERAGE(D7:H7)</f>
        <v>0.36629999999999996</v>
      </c>
      <c r="J7">
        <f>_xlfn.STDEV.S(D7:H7)</f>
        <v>9.571972106102275E-2</v>
      </c>
      <c r="K7">
        <f>SQRT(COUNT(D7:H7))</f>
        <v>2.2360679774997898</v>
      </c>
      <c r="L7">
        <f>J7/K7</f>
        <v>4.2807160615953029E-2</v>
      </c>
      <c r="M7">
        <f>J7/I7</f>
        <v>0.26131509981169193</v>
      </c>
    </row>
    <row r="8" spans="2:13" x14ac:dyDescent="0.55000000000000004">
      <c r="B8">
        <v>2</v>
      </c>
      <c r="C8">
        <v>0</v>
      </c>
      <c r="D8">
        <v>0.3327</v>
      </c>
      <c r="E8">
        <v>0.32129999999999997</v>
      </c>
      <c r="F8">
        <v>0.39639999999999997</v>
      </c>
      <c r="G8">
        <v>0.32119999999999999</v>
      </c>
      <c r="H8">
        <v>0.32140000000000002</v>
      </c>
      <c r="I8">
        <f>AVERAGE(D8:H8)</f>
        <v>0.3385999999999999</v>
      </c>
      <c r="J8">
        <f t="shared" ref="J8:J13" si="0">_xlfn.STDEV.S(D8:H8)</f>
        <v>3.2686159150319263E-2</v>
      </c>
      <c r="K8">
        <f t="shared" ref="K8:K13" si="1">SQRT(COUNT(D8:H8))</f>
        <v>2.2360679774997898</v>
      </c>
      <c r="L8">
        <f t="shared" ref="L8:L13" si="2">J8/K8</f>
        <v>1.4617694756698127E-2</v>
      </c>
      <c r="M8">
        <f t="shared" ref="M8:M13" si="3">J8/I8</f>
        <v>9.6533252068279007E-2</v>
      </c>
    </row>
    <row r="9" spans="2:13" x14ac:dyDescent="0.55000000000000004">
      <c r="B9">
        <v>3</v>
      </c>
      <c r="C9">
        <v>-4</v>
      </c>
      <c r="D9">
        <v>0.39179999999999998</v>
      </c>
      <c r="E9">
        <v>0.31900000000000001</v>
      </c>
      <c r="F9">
        <v>0.32479999999999998</v>
      </c>
      <c r="G9">
        <v>0.29580000000000001</v>
      </c>
      <c r="H9">
        <v>0.38319999999999999</v>
      </c>
      <c r="I9">
        <f t="shared" ref="I9:I13" si="4">AVERAGE(D9:H9)</f>
        <v>0.34292</v>
      </c>
      <c r="J9">
        <f t="shared" si="0"/>
        <v>4.2227147665926536E-2</v>
      </c>
      <c r="K9">
        <f t="shared" si="1"/>
        <v>2.2360679774997898</v>
      </c>
      <c r="L9">
        <f t="shared" si="2"/>
        <v>1.8884554535386663E-2</v>
      </c>
      <c r="M9">
        <f t="shared" si="3"/>
        <v>0.12313993837025118</v>
      </c>
    </row>
    <row r="10" spans="2:13" x14ac:dyDescent="0.55000000000000004">
      <c r="B10">
        <v>4</v>
      </c>
      <c r="C10">
        <v>-8</v>
      </c>
      <c r="D10">
        <v>0.41970000000000002</v>
      </c>
      <c r="E10">
        <v>0.37190000000000001</v>
      </c>
      <c r="F10">
        <v>0.33610000000000001</v>
      </c>
      <c r="G10">
        <v>0.35399999999999998</v>
      </c>
      <c r="H10">
        <v>0.35560000000000003</v>
      </c>
      <c r="I10">
        <f t="shared" si="4"/>
        <v>0.36746000000000001</v>
      </c>
      <c r="J10">
        <f t="shared" si="0"/>
        <v>3.1835561876618422E-2</v>
      </c>
      <c r="K10">
        <f t="shared" si="1"/>
        <v>2.2360679774997898</v>
      </c>
      <c r="L10">
        <f t="shared" si="2"/>
        <v>1.4237296091603912E-2</v>
      </c>
      <c r="M10">
        <f t="shared" si="3"/>
        <v>8.6636809112878743E-2</v>
      </c>
    </row>
    <row r="11" spans="2:13" x14ac:dyDescent="0.55000000000000004">
      <c r="B11">
        <v>5</v>
      </c>
      <c r="C11">
        <v>-12</v>
      </c>
      <c r="D11">
        <v>0.32069999999999999</v>
      </c>
      <c r="E11">
        <v>0.36709999999999998</v>
      </c>
      <c r="F11">
        <v>0.49519999999999997</v>
      </c>
      <c r="G11">
        <v>0.38140000000000002</v>
      </c>
      <c r="H11">
        <v>0.40179999999999999</v>
      </c>
      <c r="I11">
        <f t="shared" si="4"/>
        <v>0.39323999999999992</v>
      </c>
      <c r="J11">
        <f t="shared" si="0"/>
        <v>6.4332441271881188E-2</v>
      </c>
      <c r="K11">
        <f t="shared" si="1"/>
        <v>2.2360679774997898</v>
      </c>
      <c r="L11">
        <f t="shared" si="2"/>
        <v>2.8770342368487873E-2</v>
      </c>
      <c r="M11">
        <f t="shared" si="3"/>
        <v>0.16359587344085341</v>
      </c>
    </row>
    <row r="12" spans="2:13" x14ac:dyDescent="0.55000000000000004">
      <c r="B12">
        <v>6</v>
      </c>
      <c r="C12">
        <v>-16</v>
      </c>
      <c r="D12">
        <v>0.37359999999999999</v>
      </c>
      <c r="E12">
        <v>0.43880000000000002</v>
      </c>
      <c r="F12">
        <v>0.44019999999999998</v>
      </c>
      <c r="G12">
        <v>0.41899999999999998</v>
      </c>
      <c r="H12">
        <v>0.46139999999999998</v>
      </c>
      <c r="I12">
        <f t="shared" si="4"/>
        <v>0.42659999999999998</v>
      </c>
      <c r="J12">
        <f t="shared" si="0"/>
        <v>3.320993827154757E-2</v>
      </c>
      <c r="K12">
        <f t="shared" si="1"/>
        <v>2.2360679774997898</v>
      </c>
      <c r="L12">
        <f t="shared" si="2"/>
        <v>1.4851935900750447E-2</v>
      </c>
      <c r="M12">
        <f t="shared" si="3"/>
        <v>7.7847956567153237E-2</v>
      </c>
    </row>
    <row r="13" spans="2:13" x14ac:dyDescent="0.55000000000000004">
      <c r="B13">
        <v>7</v>
      </c>
      <c r="C13">
        <v>-20</v>
      </c>
      <c r="D13">
        <v>0.42509999999999998</v>
      </c>
      <c r="E13">
        <v>0.44419999999999998</v>
      </c>
      <c r="F13">
        <v>0.41220000000000001</v>
      </c>
      <c r="G13">
        <v>0.3715</v>
      </c>
      <c r="H13">
        <v>0.3861</v>
      </c>
      <c r="I13">
        <f t="shared" si="4"/>
        <v>0.40781999999999996</v>
      </c>
      <c r="J13">
        <f t="shared" si="0"/>
        <v>2.9292439297538872E-2</v>
      </c>
      <c r="K13">
        <f t="shared" si="1"/>
        <v>2.2360679774997898</v>
      </c>
      <c r="L13">
        <f t="shared" si="2"/>
        <v>1.309997709921662E-2</v>
      </c>
      <c r="M13">
        <f t="shared" si="3"/>
        <v>7.1826882687310273E-2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0E15-FB0D-4489-9A76-B06E902AF93D}">
  <dimension ref="B4:J31"/>
  <sheetViews>
    <sheetView topLeftCell="A7" workbookViewId="0">
      <selection activeCell="L19" sqref="L19"/>
    </sheetView>
  </sheetViews>
  <sheetFormatPr defaultRowHeight="18" x14ac:dyDescent="0.55000000000000004"/>
  <cols>
    <col min="7" max="7" width="17.83203125" customWidth="1"/>
    <col min="9" max="9" width="18.1640625" customWidth="1"/>
    <col min="10" max="10" width="18.08203125" customWidth="1"/>
  </cols>
  <sheetData>
    <row r="4" spans="2:10" x14ac:dyDescent="0.55000000000000004">
      <c r="B4" t="s">
        <v>19</v>
      </c>
      <c r="I4" t="s">
        <v>20</v>
      </c>
      <c r="J4" t="s">
        <v>21</v>
      </c>
    </row>
    <row r="5" spans="2:10" x14ac:dyDescent="0.55000000000000004">
      <c r="C5">
        <v>0</v>
      </c>
      <c r="D5">
        <v>12.67469777</v>
      </c>
      <c r="E5">
        <v>270436.36349879002</v>
      </c>
      <c r="F5">
        <v>29071.465003950001</v>
      </c>
      <c r="G5" s="2">
        <v>1817667.1007115401</v>
      </c>
      <c r="I5" s="3">
        <v>1790920.69436672</v>
      </c>
      <c r="J5" s="3">
        <v>1817679.4531056201</v>
      </c>
    </row>
    <row r="6" spans="2:10" x14ac:dyDescent="0.55000000000000004">
      <c r="G6" s="2"/>
      <c r="I6" s="3">
        <v>1788289.76775882</v>
      </c>
      <c r="J6" s="3">
        <v>1817118.8263713</v>
      </c>
    </row>
    <row r="7" spans="2:10" x14ac:dyDescent="0.55000000000000004">
      <c r="C7">
        <v>1</v>
      </c>
      <c r="D7">
        <v>13.804890739999999</v>
      </c>
      <c r="E7">
        <v>359514.40140252002</v>
      </c>
      <c r="F7">
        <v>37659.721479860003</v>
      </c>
      <c r="G7" s="2">
        <v>1818537.43594913</v>
      </c>
      <c r="I7" s="3">
        <v>1777177.93100924</v>
      </c>
      <c r="J7" s="3">
        <v>1816260.9490676699</v>
      </c>
    </row>
    <row r="8" spans="2:10" x14ac:dyDescent="0.55000000000000004">
      <c r="G8" s="2"/>
      <c r="I8" s="3">
        <v>1520230.19497707</v>
      </c>
      <c r="J8" s="3">
        <v>1816613.8192941099</v>
      </c>
    </row>
    <row r="9" spans="2:10" x14ac:dyDescent="0.55000000000000004">
      <c r="C9">
        <v>2</v>
      </c>
      <c r="D9">
        <v>14.78502937</v>
      </c>
      <c r="E9">
        <v>451870.18250146002</v>
      </c>
      <c r="F9">
        <v>46360.430552439997</v>
      </c>
      <c r="G9" s="2">
        <v>1819578.30362183</v>
      </c>
      <c r="I9" s="3">
        <v>1900494.9085804501</v>
      </c>
      <c r="J9" s="3">
        <v>1810181.3587852099</v>
      </c>
    </row>
    <row r="10" spans="2:10" x14ac:dyDescent="0.55000000000000004">
      <c r="G10" s="2"/>
      <c r="I10" s="3">
        <v>1863044.72825084</v>
      </c>
      <c r="J10" s="3">
        <v>1810840.97096714</v>
      </c>
    </row>
    <row r="11" spans="2:10" x14ac:dyDescent="0.55000000000000004">
      <c r="C11">
        <v>3</v>
      </c>
      <c r="D11">
        <v>17.64067593</v>
      </c>
      <c r="E11">
        <v>814061.31694761</v>
      </c>
      <c r="F11">
        <v>79168.165610919998</v>
      </c>
      <c r="G11" s="2">
        <v>1818750.88499006</v>
      </c>
      <c r="I11" s="3">
        <v>1856027.35393178</v>
      </c>
      <c r="J11" s="3">
        <v>1812246.4763347099</v>
      </c>
    </row>
    <row r="12" spans="2:10" x14ac:dyDescent="0.55000000000000004">
      <c r="G12" s="2"/>
      <c r="I12" s="3">
        <v>1856096.51202353</v>
      </c>
      <c r="J12" s="3">
        <v>1813380.75151692</v>
      </c>
    </row>
    <row r="13" spans="2:10" x14ac:dyDescent="0.55000000000000004">
      <c r="C13">
        <v>4</v>
      </c>
      <c r="D13">
        <v>21.134956649999999</v>
      </c>
      <c r="E13">
        <v>1486885.6960130599</v>
      </c>
      <c r="F13">
        <v>136894.93150102001</v>
      </c>
      <c r="G13" s="2">
        <v>1817784.21556686</v>
      </c>
      <c r="I13" s="3">
        <v>1852708.99278265</v>
      </c>
      <c r="J13" s="3">
        <v>1814607.9943555</v>
      </c>
    </row>
    <row r="14" spans="2:10" x14ac:dyDescent="0.55000000000000004">
      <c r="G14" s="2"/>
      <c r="I14" s="3">
        <v>1851822.13256448</v>
      </c>
      <c r="J14" s="3">
        <v>1815973.4010172</v>
      </c>
    </row>
    <row r="15" spans="2:10" x14ac:dyDescent="0.55000000000000004">
      <c r="C15">
        <v>5</v>
      </c>
      <c r="D15">
        <v>22.679536989999999</v>
      </c>
      <c r="E15">
        <v>1880992.1923296901</v>
      </c>
      <c r="F15">
        <v>169517.33047294</v>
      </c>
      <c r="G15" s="2">
        <v>1818374.1013068301</v>
      </c>
      <c r="I15" s="3">
        <v>1852029.74808807</v>
      </c>
      <c r="J15" s="3">
        <v>1817745.7277234499</v>
      </c>
    </row>
    <row r="16" spans="2:10" x14ac:dyDescent="0.55000000000000004">
      <c r="G16" s="2"/>
      <c r="I16" s="3">
        <v>1851331.9505568</v>
      </c>
      <c r="J16" s="3">
        <v>1818861.0112172901</v>
      </c>
    </row>
    <row r="17" spans="3:10" ht="20" x14ac:dyDescent="0.55000000000000004">
      <c r="C17">
        <v>6</v>
      </c>
      <c r="D17">
        <v>22.808478709999999</v>
      </c>
      <c r="E17">
        <v>1916876.4004186101</v>
      </c>
      <c r="F17">
        <v>172454.73405825999</v>
      </c>
      <c r="G17" s="2">
        <v>1819945.43251384</v>
      </c>
      <c r="I17" s="2" t="s">
        <v>18</v>
      </c>
      <c r="J17" s="4">
        <v>1820251.9683807699</v>
      </c>
    </row>
    <row r="18" spans="3:10" x14ac:dyDescent="0.55000000000000004">
      <c r="G18" s="2"/>
      <c r="I18" s="2">
        <f>AVERAGE(I5:I16)</f>
        <v>1813347.9095742041</v>
      </c>
      <c r="J18" s="2" t="s">
        <v>18</v>
      </c>
    </row>
    <row r="19" spans="3:10" x14ac:dyDescent="0.55000000000000004">
      <c r="C19">
        <v>7</v>
      </c>
      <c r="D19">
        <v>23.53005533</v>
      </c>
      <c r="E19">
        <v>2126585.6238375301</v>
      </c>
      <c r="F19">
        <v>189524.30174115</v>
      </c>
      <c r="G19" s="2">
        <v>1821113.6780320499</v>
      </c>
      <c r="J19" s="2">
        <f>AVERAGE(J5:J17)</f>
        <v>1815520.2083182221</v>
      </c>
    </row>
    <row r="20" spans="3:10" x14ac:dyDescent="0.55000000000000004">
      <c r="G20" s="2"/>
    </row>
    <row r="21" spans="3:10" x14ac:dyDescent="0.55000000000000004">
      <c r="C21">
        <v>8</v>
      </c>
      <c r="D21">
        <v>23.95053738</v>
      </c>
      <c r="E21">
        <v>2255921.17009365</v>
      </c>
      <c r="F21">
        <v>199974.65085844</v>
      </c>
      <c r="G21" s="2">
        <v>1822546.45473549</v>
      </c>
    </row>
    <row r="22" spans="3:10" x14ac:dyDescent="0.55000000000000004">
      <c r="G22" s="2"/>
    </row>
    <row r="23" spans="3:10" x14ac:dyDescent="0.55000000000000004">
      <c r="C23">
        <v>9</v>
      </c>
      <c r="D23">
        <v>24.434166170000001</v>
      </c>
      <c r="E23">
        <v>2411375.1975006</v>
      </c>
      <c r="F23">
        <v>212463.74331543999</v>
      </c>
      <c r="G23" s="2">
        <v>1823947.4257708699</v>
      </c>
    </row>
    <row r="24" spans="3:10" x14ac:dyDescent="0.55000000000000004">
      <c r="G24" s="2"/>
    </row>
    <row r="25" spans="3:10" x14ac:dyDescent="0.55000000000000004">
      <c r="C25">
        <v>10</v>
      </c>
      <c r="D25">
        <v>24.72905343</v>
      </c>
      <c r="E25">
        <v>2509755.1587674199</v>
      </c>
      <c r="F25">
        <v>220329.4833771</v>
      </c>
      <c r="G25" s="2">
        <v>1825540.2113236799</v>
      </c>
    </row>
    <row r="26" spans="3:10" x14ac:dyDescent="0.55000000000000004">
      <c r="G26" s="2"/>
    </row>
    <row r="27" spans="3:10" x14ac:dyDescent="0.55000000000000004">
      <c r="C27">
        <v>11</v>
      </c>
      <c r="D27">
        <v>25.23362199</v>
      </c>
      <c r="E27">
        <v>2684551.1831309502</v>
      </c>
      <c r="F27">
        <v>234236.59000462</v>
      </c>
      <c r="G27" s="2">
        <v>1826980.0795067099</v>
      </c>
    </row>
    <row r="28" spans="3:10" x14ac:dyDescent="0.55000000000000004">
      <c r="G28" s="2"/>
    </row>
    <row r="29" spans="3:10" x14ac:dyDescent="0.55000000000000004">
      <c r="C29">
        <v>12</v>
      </c>
      <c r="D29">
        <v>25.61880214</v>
      </c>
      <c r="E29">
        <v>2823595.26085104</v>
      </c>
      <c r="F29">
        <v>245240.27117858999</v>
      </c>
      <c r="G29" s="2">
        <v>1828549.27523875</v>
      </c>
    </row>
    <row r="30" spans="3:10" x14ac:dyDescent="0.55000000000000004">
      <c r="G30" s="2" t="s">
        <v>18</v>
      </c>
    </row>
    <row r="31" spans="3:10" x14ac:dyDescent="0.55000000000000004">
      <c r="G31" s="2">
        <f>AVERAGE(G5:G29)</f>
        <v>1821485.7384052027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R2_auc</vt:lpstr>
      <vt:lpstr>100%</vt:lpstr>
      <vt:lpstr>Ivey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shibariku0623@icloud.com</dc:creator>
  <cp:lastModifiedBy>shibariku0623@icloud.com</cp:lastModifiedBy>
  <dcterms:created xsi:type="dcterms:W3CDTF">2025-01-16T06:03:44Z</dcterms:created>
  <dcterms:modified xsi:type="dcterms:W3CDTF">2025-04-18T00:40:37Z</dcterms:modified>
</cp:coreProperties>
</file>